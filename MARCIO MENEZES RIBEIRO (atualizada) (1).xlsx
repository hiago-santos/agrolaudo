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edro Santos\Desktop\Projetos Credi\CPRs\Quadro de produção\"/>
    </mc:Choice>
  </mc:AlternateContent>
  <bookViews>
    <workbookView xWindow="0" yWindow="0" windowWidth="17925" windowHeight="729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" l="1"/>
  <c r="B24" i="1"/>
  <c r="B21" i="1"/>
  <c r="B23" i="1" s="1"/>
  <c r="B25" i="1" l="1"/>
  <c r="B15" i="1" l="1"/>
  <c r="B12" i="1"/>
  <c r="B14" i="1" s="1"/>
  <c r="B16" i="1" s="1"/>
</calcChain>
</file>

<file path=xl/sharedStrings.xml><?xml version="1.0" encoding="utf-8"?>
<sst xmlns="http://schemas.openxmlformats.org/spreadsheetml/2006/main" count="36" uniqueCount="29">
  <si>
    <t>Cooperado:</t>
  </si>
  <si>
    <t>Propriedade:</t>
  </si>
  <si>
    <t>Matrícula:</t>
  </si>
  <si>
    <t>Munícipio:</t>
  </si>
  <si>
    <t>CPF:</t>
  </si>
  <si>
    <t xml:space="preserve">Valores </t>
  </si>
  <si>
    <t>Engenheiro Agrônomo</t>
  </si>
  <si>
    <t>Pedro Henrique dos Santos</t>
  </si>
  <si>
    <t>CREA 5063910430</t>
  </si>
  <si>
    <t>MARCIO MENEZES RIBEIRO</t>
  </si>
  <si>
    <t>098.736.418-90</t>
  </si>
  <si>
    <t xml:space="preserve"> FAZENDA SANTA TEREZINHA</t>
  </si>
  <si>
    <t>Ituverava-SP</t>
  </si>
  <si>
    <t>Área em produção (há)</t>
  </si>
  <si>
    <t>Produção Total (toneladas)</t>
  </si>
  <si>
    <t>Custo de Produção/há (aproximado)</t>
  </si>
  <si>
    <t>Custo Total</t>
  </si>
  <si>
    <t>Faturamento Bruto</t>
  </si>
  <si>
    <t>Receita Bruto</t>
  </si>
  <si>
    <t xml:space="preserve">  Ano Safra:2025/2026</t>
  </si>
  <si>
    <t xml:space="preserve">Quadro de Produçao            </t>
  </si>
  <si>
    <t>Cana de Açúcar</t>
  </si>
  <si>
    <t>Média Toneladas/hectare</t>
  </si>
  <si>
    <t>Valor da tonelada Cana de açúcar</t>
  </si>
  <si>
    <t xml:space="preserve">Soja </t>
  </si>
  <si>
    <t>Valores</t>
  </si>
  <si>
    <t>Valor da tonelada Soja</t>
  </si>
  <si>
    <t>Receita Total (Cana + Soja)</t>
  </si>
  <si>
    <t>Franca, 20 de janeiro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</si>
</sst>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/>
    <xf numFmtId="0" fontId="3" fillId="2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0" borderId="1" xfId="0" applyFill="1" applyBorder="1"/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horizontal="left"/>
    </xf>
    <xf numFmtId="3" fontId="0" fillId="0" borderId="0" xfId="0" applyNumberFormat="1" applyFont="1" applyAlignment="1">
      <alignment horizontal="left"/>
    </xf>
    <xf numFmtId="0" fontId="4" fillId="3" borderId="4" xfId="0" applyFont="1" applyFill="1" applyBorder="1" applyAlignment="1"/>
    <xf numFmtId="0" fontId="4" fillId="3" borderId="3" xfId="0" applyFont="1" applyFill="1" applyBorder="1" applyAlignment="1">
      <alignment horizontal="center" wrapText="1"/>
    </xf>
    <xf numFmtId="0" fontId="6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0" fontId="3" fillId="2" borderId="1" xfId="0" applyFont="1" applyFill="1" applyBorder="1"/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right"/>
    </xf>
    <xf numFmtId="44" fontId="0" fillId="0" borderId="1" xfId="1" applyFont="1" applyBorder="1" applyAlignment="1">
      <alignment horizontal="right"/>
    </xf>
    <xf numFmtId="44" fontId="0" fillId="0" borderId="1" xfId="0" applyNumberFormat="1" applyBorder="1" applyAlignment="1">
      <alignment horizontal="right"/>
    </xf>
    <xf numFmtId="44" fontId="0" fillId="0" borderId="1" xfId="0" applyNumberFormat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44" fontId="7" fillId="4" borderId="6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topLeftCell="A11" workbookViewId="0">
      <selection activeCell="D27" sqref="D27"/>
    </sheetView>
  </sheetViews>
  <sheetFormatPr defaultRowHeight="15" x14ac:dyDescent="0.25"/>
  <cols>
    <col min="1" max="1" width="33.5703125" bestFit="1" customWidth="1"/>
    <col min="2" max="2" width="32.85546875" bestFit="1" customWidth="1"/>
    <col min="3" max="3" width="23" customWidth="1"/>
  </cols>
  <sheetData>
    <row r="1" spans="1:5" x14ac:dyDescent="0.25">
      <c r="A1" s="3" t="s">
        <v>0</v>
      </c>
      <c r="B1" s="9" t="s">
        <v>9</v>
      </c>
      <c r="C1" s="2"/>
      <c r="D1" s="1"/>
      <c r="E1" s="1"/>
    </row>
    <row r="2" spans="1:5" x14ac:dyDescent="0.25">
      <c r="A2" s="3" t="s">
        <v>4</v>
      </c>
      <c r="B2" s="9" t="s">
        <v>10</v>
      </c>
      <c r="C2" s="2"/>
      <c r="D2" s="1"/>
      <c r="E2" s="1"/>
    </row>
    <row r="3" spans="1:5" x14ac:dyDescent="0.25">
      <c r="A3" s="3" t="s">
        <v>1</v>
      </c>
      <c r="B3" s="14" t="s">
        <v>11</v>
      </c>
      <c r="C3" s="14"/>
      <c r="D3" s="1"/>
      <c r="E3" s="1"/>
    </row>
    <row r="4" spans="1:5" x14ac:dyDescent="0.25">
      <c r="A4" s="3" t="s">
        <v>2</v>
      </c>
      <c r="B4" s="10">
        <v>20629</v>
      </c>
      <c r="C4" s="2"/>
      <c r="D4" s="1"/>
      <c r="E4" s="1"/>
    </row>
    <row r="5" spans="1:5" x14ac:dyDescent="0.25">
      <c r="A5" s="3" t="s">
        <v>3</v>
      </c>
      <c r="B5" s="9" t="s">
        <v>12</v>
      </c>
      <c r="C5" s="2"/>
      <c r="D5" s="1"/>
      <c r="E5" s="1"/>
    </row>
    <row r="6" spans="1:5" ht="15.75" thickBot="1" x14ac:dyDescent="0.3">
      <c r="A6" s="3"/>
      <c r="B6" s="2"/>
      <c r="C6" s="2"/>
      <c r="D6" s="1"/>
      <c r="E6" s="1"/>
    </row>
    <row r="7" spans="1:5" ht="19.5" thickBot="1" x14ac:dyDescent="0.35">
      <c r="A7" s="12" t="s">
        <v>20</v>
      </c>
      <c r="B7" s="11" t="s">
        <v>19</v>
      </c>
      <c r="C7" s="1"/>
      <c r="D7" s="1"/>
      <c r="E7" s="1"/>
    </row>
    <row r="8" spans="1:5" ht="15.75" x14ac:dyDescent="0.25">
      <c r="A8" s="6" t="s">
        <v>21</v>
      </c>
      <c r="B8" s="5" t="s">
        <v>5</v>
      </c>
      <c r="C8" s="1"/>
      <c r="D8" s="1"/>
      <c r="E8" s="1"/>
    </row>
    <row r="9" spans="1:5" x14ac:dyDescent="0.25">
      <c r="A9" s="4" t="s">
        <v>13</v>
      </c>
      <c r="B9" s="18">
        <v>900</v>
      </c>
    </row>
    <row r="10" spans="1:5" x14ac:dyDescent="0.25">
      <c r="A10" s="4" t="s">
        <v>22</v>
      </c>
      <c r="B10" s="18">
        <v>100</v>
      </c>
      <c r="E10" s="1"/>
    </row>
    <row r="11" spans="1:5" x14ac:dyDescent="0.25">
      <c r="A11" s="4" t="s">
        <v>23</v>
      </c>
      <c r="B11" s="19">
        <v>152</v>
      </c>
    </row>
    <row r="12" spans="1:5" x14ac:dyDescent="0.25">
      <c r="A12" s="4" t="s">
        <v>14</v>
      </c>
      <c r="B12" s="18">
        <f>B10*B9</f>
        <v>90000</v>
      </c>
    </row>
    <row r="13" spans="1:5" x14ac:dyDescent="0.25">
      <c r="A13" s="4" t="s">
        <v>15</v>
      </c>
      <c r="B13" s="19">
        <v>9000</v>
      </c>
    </row>
    <row r="14" spans="1:5" x14ac:dyDescent="0.25">
      <c r="A14" s="4" t="s">
        <v>17</v>
      </c>
      <c r="B14" s="19">
        <f>B12*B11</f>
        <v>13680000</v>
      </c>
    </row>
    <row r="15" spans="1:5" x14ac:dyDescent="0.25">
      <c r="A15" s="4" t="s">
        <v>16</v>
      </c>
      <c r="B15" s="19">
        <f>B13*B9</f>
        <v>8100000</v>
      </c>
    </row>
    <row r="16" spans="1:5" x14ac:dyDescent="0.25">
      <c r="A16" s="7" t="s">
        <v>18</v>
      </c>
      <c r="B16" s="20">
        <f>B14-B15</f>
        <v>5580000</v>
      </c>
    </row>
    <row r="17" spans="1:2" ht="15.75" x14ac:dyDescent="0.25">
      <c r="A17" s="15" t="s">
        <v>24</v>
      </c>
      <c r="B17" s="15" t="s">
        <v>25</v>
      </c>
    </row>
    <row r="18" spans="1:2" x14ac:dyDescent="0.25">
      <c r="A18" s="16" t="s">
        <v>13</v>
      </c>
      <c r="B18" s="18">
        <v>500</v>
      </c>
    </row>
    <row r="19" spans="1:2" x14ac:dyDescent="0.25">
      <c r="A19" s="16" t="s">
        <v>22</v>
      </c>
      <c r="B19" s="18">
        <v>70</v>
      </c>
    </row>
    <row r="20" spans="1:2" x14ac:dyDescent="0.25">
      <c r="A20" s="16" t="s">
        <v>26</v>
      </c>
      <c r="B20" s="19">
        <v>131</v>
      </c>
    </row>
    <row r="21" spans="1:2" x14ac:dyDescent="0.25">
      <c r="A21" s="16" t="s">
        <v>14</v>
      </c>
      <c r="B21" s="18">
        <f>B18*B19</f>
        <v>35000</v>
      </c>
    </row>
    <row r="22" spans="1:2" x14ac:dyDescent="0.25">
      <c r="A22" s="16" t="s">
        <v>15</v>
      </c>
      <c r="B22" s="19">
        <v>5461.94</v>
      </c>
    </row>
    <row r="23" spans="1:2" x14ac:dyDescent="0.25">
      <c r="A23" s="16" t="s">
        <v>17</v>
      </c>
      <c r="B23" s="19">
        <f>B20*B21</f>
        <v>4585000</v>
      </c>
    </row>
    <row r="24" spans="1:2" x14ac:dyDescent="0.25">
      <c r="A24" s="16" t="s">
        <v>16</v>
      </c>
      <c r="B24" s="19">
        <f>B22*B18</f>
        <v>2730970</v>
      </c>
    </row>
    <row r="25" spans="1:2" ht="18.75" customHeight="1" x14ac:dyDescent="0.25">
      <c r="A25" s="17" t="s">
        <v>18</v>
      </c>
      <c r="B25" s="21">
        <f>B23-B24</f>
        <v>1854030</v>
      </c>
    </row>
    <row r="26" spans="1:2" ht="18.75" x14ac:dyDescent="0.25">
      <c r="A26" s="22" t="s">
        <v>27</v>
      </c>
      <c r="B26" s="23">
        <f>SUM(B25,B16)</f>
        <v>7434030</v>
      </c>
    </row>
    <row r="27" spans="1:2" ht="21" x14ac:dyDescent="0.35">
      <c r="A27" s="13"/>
      <c r="B27" s="13"/>
    </row>
    <row r="28" spans="1:2" ht="21" x14ac:dyDescent="0.35">
      <c r="A28" s="13" t="s">
        <v>28</v>
      </c>
      <c r="B28" s="13"/>
    </row>
    <row r="29" spans="1:2" ht="18.75" x14ac:dyDescent="0.25">
      <c r="B29" s="8" t="s">
        <v>6</v>
      </c>
    </row>
    <row r="30" spans="1:2" ht="18.75" x14ac:dyDescent="0.25">
      <c r="B30" s="8" t="s">
        <v>7</v>
      </c>
    </row>
    <row r="31" spans="1:2" ht="18.75" x14ac:dyDescent="0.25">
      <c r="B31" s="8" t="s">
        <v>8</v>
      </c>
    </row>
  </sheetData>
  <mergeCells count="3">
    <mergeCell ref="B3:C3"/>
    <mergeCell ref="A27:B27"/>
    <mergeCell ref="A28:B2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Santos</dc:creator>
  <cp:lastModifiedBy>Pedro Santos</cp:lastModifiedBy>
  <cp:lastPrinted>2026-01-20T15:40:56Z</cp:lastPrinted>
  <dcterms:created xsi:type="dcterms:W3CDTF">2024-01-25T16:40:21Z</dcterms:created>
  <dcterms:modified xsi:type="dcterms:W3CDTF">2026-01-20T15:41:48Z</dcterms:modified>
</cp:coreProperties>
</file>